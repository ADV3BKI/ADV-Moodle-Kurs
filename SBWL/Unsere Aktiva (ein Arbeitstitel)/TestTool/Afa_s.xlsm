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01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_Unterrichtsentwürfe\BWL\RW\3 Abschluss\3.1Abschreibungen\"/>
    </mc:Choice>
  </mc:AlternateContent>
  <xr:revisionPtr revIDLastSave="0" documentId="8_{71C6B1E1-658E-482C-A363-8B5ECD463565}" xr6:coauthVersionLast="46" xr6:coauthVersionMax="46" xr10:uidLastSave="{00000000-0000-0000-0000-000000000000}"/>
  <bookViews>
    <workbookView xWindow="-98" yWindow="-98" windowWidth="20715" windowHeight="13276" firstSheet="1" activeTab="2"/>
  </bookViews>
  <sheets>
    <sheet name="Tabelle1" sheetId="2" state="hidden" r:id="rId1"/>
    <sheet name="Eingaben" sheetId="1" r:id="rId2"/>
    <sheet name="Abschreibungstabelle" sheetId="3" r:id="rId3"/>
    <sheet name="Visualisierung2" sheetId="6" r:id="rId4"/>
    <sheet name="Visualisierung" sheetId="5" r:id="rId5"/>
    <sheet name="Funktion Abschreibungsbetrag" sheetId="4" state="veryHidden" r:id=""/>
  </sheets>
  <functionGroups builtInGroupCount="19"/>
  <definedNames>
    <definedName name="Afasatz">Eingaben!$D$11</definedName>
    <definedName name="Afaverfahren">Eingaben!$B$8</definedName>
    <definedName name="Anschaffungsdatum">Eingaben!$B$10</definedName>
    <definedName name="Anschaffungswert">Eingaben!$D$10</definedName>
    <definedName name="Anzahl_der_Monate">Eingaben!$D$8</definedName>
    <definedName name="letztes_Nutzungsjahr">Eingaben!$B$12</definedName>
    <definedName name="Nutzungsdauer">Eingaben!$B$11</definedName>
    <definedName name="Zeitbezug">Eingaben!$D$6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" l="1"/>
  <c r="B12" i="1" s="1"/>
  <c r="A4" i="3"/>
  <c r="A5" i="3" s="1"/>
  <c r="B4" i="3"/>
  <c r="D11" i="1"/>
  <c r="C4" i="3" s="1"/>
  <c r="D4" i="3" s="1"/>
  <c r="A6" i="3" l="1"/>
  <c r="B5" i="3"/>
  <c r="C5" i="3"/>
  <c r="D5" i="3" l="1"/>
  <c r="A7" i="3"/>
  <c r="B6" i="3"/>
  <c r="C6" i="3"/>
  <c r="D6" i="3" l="1"/>
  <c r="A8" i="3"/>
  <c r="B7" i="3"/>
  <c r="C7" i="3"/>
  <c r="D7" i="3" l="1"/>
  <c r="A9" i="3"/>
  <c r="B8" i="3"/>
  <c r="C8" i="3"/>
  <c r="D8" i="3" l="1"/>
  <c r="A10" i="3"/>
  <c r="B9" i="3"/>
  <c r="C9" i="3"/>
  <c r="D9" i="3" l="1"/>
  <c r="A11" i="3"/>
  <c r="B10" i="3"/>
  <c r="C10" i="3"/>
  <c r="D10" i="3" l="1"/>
  <c r="C11" i="3"/>
  <c r="B11" i="3"/>
  <c r="D11" i="3"/>
  <c r="A12" i="3"/>
  <c r="D12" i="3" l="1"/>
  <c r="C12" i="3"/>
  <c r="A13" i="3"/>
  <c r="B12" i="3"/>
  <c r="A14" i="3" l="1"/>
  <c r="B13" i="3"/>
  <c r="C13" i="3"/>
  <c r="D13" i="3"/>
  <c r="D14" i="3" l="1"/>
  <c r="A15" i="3"/>
  <c r="B14" i="3"/>
  <c r="C14" i="3"/>
  <c r="A16" i="3" l="1"/>
  <c r="B15" i="3"/>
  <c r="D15" i="3"/>
  <c r="C15" i="3"/>
  <c r="A17" i="3" l="1"/>
  <c r="B16" i="3"/>
  <c r="D16" i="3"/>
  <c r="C16" i="3"/>
  <c r="A18" i="3" l="1"/>
  <c r="B17" i="3"/>
  <c r="D17" i="3"/>
  <c r="C17" i="3"/>
  <c r="A19" i="3" l="1"/>
  <c r="B18" i="3"/>
  <c r="D18" i="3"/>
  <c r="C18" i="3"/>
  <c r="A20" i="3" l="1"/>
  <c r="B19" i="3"/>
  <c r="D19" i="3"/>
  <c r="C19" i="3"/>
  <c r="A21" i="3" l="1"/>
  <c r="B20" i="3"/>
  <c r="D20" i="3"/>
  <c r="C20" i="3"/>
  <c r="A22" i="3" l="1"/>
  <c r="B21" i="3"/>
  <c r="D21" i="3"/>
  <c r="C21" i="3"/>
  <c r="A23" i="3" l="1"/>
  <c r="B22" i="3"/>
  <c r="D22" i="3"/>
  <c r="C22" i="3"/>
  <c r="A24" i="3" l="1"/>
  <c r="B23" i="3"/>
  <c r="D23" i="3"/>
  <c r="C23" i="3"/>
  <c r="A25" i="3" l="1"/>
  <c r="B24" i="3"/>
  <c r="D24" i="3"/>
  <c r="C24" i="3"/>
  <c r="A26" i="3" l="1"/>
  <c r="B25" i="3"/>
  <c r="D25" i="3"/>
  <c r="C25" i="3"/>
  <c r="A27" i="3" l="1"/>
  <c r="B26" i="3"/>
  <c r="D26" i="3"/>
  <c r="C26" i="3"/>
  <c r="A28" i="3" l="1"/>
  <c r="B27" i="3"/>
  <c r="D27" i="3"/>
  <c r="C27" i="3"/>
  <c r="A29" i="3" l="1"/>
  <c r="C28" i="3"/>
  <c r="D28" i="3"/>
  <c r="B28" i="3"/>
  <c r="A30" i="3" l="1"/>
  <c r="B29" i="3"/>
  <c r="D29" i="3"/>
  <c r="C29" i="3"/>
  <c r="A31" i="3" l="1"/>
  <c r="C30" i="3"/>
  <c r="B30" i="3"/>
  <c r="D30" i="3"/>
  <c r="A32" i="3" l="1"/>
  <c r="D31" i="3"/>
  <c r="B31" i="3"/>
  <c r="C31" i="3"/>
  <c r="A33" i="3" l="1"/>
  <c r="C32" i="3"/>
  <c r="D32" i="3"/>
  <c r="B32" i="3"/>
  <c r="A34" i="3" l="1"/>
  <c r="B33" i="3"/>
  <c r="D33" i="3"/>
  <c r="C33" i="3"/>
  <c r="A35" i="3" l="1"/>
  <c r="C34" i="3"/>
  <c r="B34" i="3"/>
  <c r="D34" i="3"/>
  <c r="A36" i="3" l="1"/>
  <c r="D35" i="3"/>
  <c r="B35" i="3"/>
  <c r="C35" i="3"/>
  <c r="A37" i="3" l="1"/>
  <c r="C36" i="3"/>
  <c r="D36" i="3"/>
  <c r="B36" i="3"/>
  <c r="A38" i="3" l="1"/>
  <c r="B37" i="3"/>
  <c r="D37" i="3"/>
  <c r="C37" i="3"/>
  <c r="A39" i="3" l="1"/>
  <c r="C38" i="3"/>
  <c r="B38" i="3"/>
  <c r="D38" i="3"/>
  <c r="A40" i="3" l="1"/>
  <c r="D39" i="3"/>
  <c r="B39" i="3"/>
  <c r="C39" i="3"/>
  <c r="A41" i="3" l="1"/>
  <c r="C40" i="3"/>
  <c r="D40" i="3"/>
  <c r="B40" i="3"/>
  <c r="A42" i="3" l="1"/>
  <c r="B41" i="3"/>
  <c r="D41" i="3"/>
  <c r="C41" i="3"/>
  <c r="A43" i="3" l="1"/>
  <c r="C42" i="3"/>
  <c r="B42" i="3"/>
  <c r="D42" i="3"/>
  <c r="A44" i="3" l="1"/>
  <c r="D43" i="3"/>
  <c r="B43" i="3"/>
  <c r="C43" i="3"/>
  <c r="A45" i="3" l="1"/>
  <c r="C44" i="3"/>
  <c r="D44" i="3"/>
  <c r="B44" i="3"/>
  <c r="A46" i="3" l="1"/>
  <c r="B45" i="3"/>
  <c r="D45" i="3"/>
  <c r="C45" i="3"/>
  <c r="A47" i="3" l="1"/>
  <c r="C46" i="3"/>
  <c r="B46" i="3"/>
  <c r="D46" i="3"/>
  <c r="A48" i="3" l="1"/>
  <c r="D47" i="3"/>
  <c r="B47" i="3"/>
  <c r="C47" i="3"/>
  <c r="A49" i="3" l="1"/>
  <c r="C48" i="3"/>
  <c r="D48" i="3"/>
  <c r="B48" i="3"/>
  <c r="A50" i="3" l="1"/>
  <c r="B49" i="3"/>
  <c r="D49" i="3"/>
  <c r="C49" i="3"/>
  <c r="A51" i="3" l="1"/>
  <c r="C50" i="3"/>
  <c r="B50" i="3"/>
  <c r="D50" i="3"/>
  <c r="A52" i="3" l="1"/>
  <c r="D51" i="3"/>
  <c r="B51" i="3"/>
  <c r="C51" i="3"/>
  <c r="A53" i="3" l="1"/>
  <c r="C52" i="3"/>
  <c r="D52" i="3"/>
  <c r="B52" i="3"/>
  <c r="A54" i="3" l="1"/>
  <c r="B53" i="3"/>
  <c r="D53" i="3"/>
  <c r="C53" i="3"/>
  <c r="A55" i="3" l="1"/>
  <c r="C54" i="3"/>
  <c r="B54" i="3"/>
  <c r="D54" i="3"/>
  <c r="A56" i="3" l="1"/>
  <c r="D55" i="3"/>
  <c r="B55" i="3"/>
  <c r="C55" i="3"/>
  <c r="A57" i="3" l="1"/>
  <c r="C56" i="3"/>
  <c r="D56" i="3"/>
  <c r="B56" i="3"/>
  <c r="A58" i="3" l="1"/>
  <c r="B57" i="3"/>
  <c r="D57" i="3"/>
  <c r="C57" i="3"/>
  <c r="A59" i="3" l="1"/>
  <c r="C58" i="3"/>
  <c r="B58" i="3"/>
  <c r="D58" i="3"/>
  <c r="A60" i="3" l="1"/>
  <c r="D59" i="3"/>
  <c r="B59" i="3"/>
  <c r="C59" i="3"/>
  <c r="A61" i="3" l="1"/>
  <c r="C60" i="3"/>
  <c r="D60" i="3"/>
  <c r="B60" i="3"/>
  <c r="A62" i="3" l="1"/>
  <c r="B61" i="3"/>
  <c r="D61" i="3"/>
  <c r="C61" i="3"/>
  <c r="A63" i="3" l="1"/>
  <c r="C62" i="3"/>
  <c r="B62" i="3"/>
  <c r="D62" i="3"/>
  <c r="A64" i="3" l="1"/>
  <c r="D63" i="3"/>
  <c r="B63" i="3"/>
  <c r="C63" i="3"/>
  <c r="A65" i="3" l="1"/>
  <c r="C64" i="3"/>
  <c r="D64" i="3"/>
  <c r="B64" i="3"/>
  <c r="A66" i="3" l="1"/>
  <c r="B65" i="3"/>
  <c r="D65" i="3"/>
  <c r="C65" i="3"/>
  <c r="C66" i="3" l="1"/>
  <c r="B66" i="3"/>
  <c r="D66" i="3"/>
</calcChain>
</file>

<file path=xl/sharedStrings.xml><?xml version="1.0" encoding="utf-8"?>
<sst xmlns="http://schemas.openxmlformats.org/spreadsheetml/2006/main" count="29" uniqueCount="29">
  <si>
    <t>Abschreibungsverfahren</t>
  </si>
  <si>
    <t>Anzahl der Monate
im ersten Jahr:</t>
  </si>
  <si>
    <t>Anschaffungs-
datum:</t>
  </si>
  <si>
    <t>Anschaffungs-
wert:</t>
  </si>
  <si>
    <t>Nutzungs-
dauer:</t>
  </si>
  <si>
    <t>Abschrei-
bungssatz:</t>
  </si>
  <si>
    <t>letztes Nutzungsjahr:</t>
  </si>
  <si>
    <t>bitte nehmen Sie Eingaben nur in den weiß 
unterlegten Feldern vor.</t>
  </si>
  <si>
    <t>Afasatz</t>
  </si>
  <si>
    <t>=Eingabe!$D$11</t>
  </si>
  <si>
    <t>Afaverfahren</t>
  </si>
  <si>
    <t>=Eingabe!$B$8</t>
  </si>
  <si>
    <t>Anschaffungsdatum</t>
  </si>
  <si>
    <t>=Eingabe!$B$10</t>
  </si>
  <si>
    <t>Anschaffungswert</t>
  </si>
  <si>
    <t>=Eingabe!$D$10</t>
  </si>
  <si>
    <t>Anzahl_der_Monate</t>
  </si>
  <si>
    <t>=Eingabe!$D$8</t>
  </si>
  <si>
    <t>letztes_Nutzungsjahr</t>
  </si>
  <si>
    <t>=Eingabe!$B$12</t>
  </si>
  <si>
    <t>Nutzungsdauer</t>
  </si>
  <si>
    <t>=Eingabe!$B$11</t>
  </si>
  <si>
    <t>Zeitbezug</t>
  </si>
  <si>
    <t>=Eingabe!$D$6</t>
  </si>
  <si>
    <t>Abschreibungsplan</t>
  </si>
  <si>
    <t>Jahr</t>
  </si>
  <si>
    <t>Buchwert am 
Jahresanfang</t>
  </si>
  <si>
    <t>Abschreibungs-
betrag</t>
  </si>
  <si>
    <t>Buchwert am
Jahresende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</si>
</sst>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2" formatCode="_-* #,##0.00\ &quot;DM&quot;_-;\-* #,##0.00\ &quot;DM&quot;_-;_-* &quot;-&quot;??\ &quot;DM&quot;_-;_-@_-"/>
    <numFmt numFmtId="175" formatCode="dd/mmm/yyyy"/>
    <numFmt numFmtId="176" formatCode="dd/\ mmm/\ yyyy"/>
    <numFmt numFmtId="177" formatCode="#,##0.00\ &quot;EURO&quot;"/>
    <numFmt numFmtId="178" formatCode="#,##0.00\ &quot;EUR&quot;"/>
  </numFmts>
  <fonts count="10" x14ac:knownFonts="1">
    <font>
      <sz val="10"/>
      <name val="Arial"/>
    </font>
    <font>
      <b/>
      <sz val="10"/>
      <name val="Arial"/>
    </font>
    <font>
      <sz val="10"/>
      <name val="Arial"/>
    </font>
    <font>
      <sz val="12"/>
      <name val="Arial"/>
      <family val="2"/>
    </font>
    <font>
      <b/>
      <sz val="12"/>
      <name val="Arial"/>
    </font>
    <font>
      <b/>
      <sz val="12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name val="Tahoma"/>
      <family val="2"/>
    </font>
    <font>
      <sz val="10"/>
      <color indexed="8"/>
      <name val="Arial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72" fontId="2" fillId="0" borderId="0" applyFont="0" applyFill="0" applyBorder="0" applyAlignment="0" applyProtection="0"/>
  </cellStyleXfs>
  <cellXfs count="30">
    <xf numFmtId="0" fontId="0" fillId="0" borderId="0" xfId="0"/>
    <xf numFmtId="0" fontId="6" fillId="0" borderId="0" xfId="0" applyFont="1" applyProtection="1">
      <protection hidden="1"/>
    </xf>
    <xf numFmtId="0" fontId="0" fillId="0" borderId="0" xfId="0" applyProtection="1">
      <protection hidden="1"/>
    </xf>
    <xf numFmtId="0" fontId="4" fillId="2" borderId="1" xfId="0" applyFont="1" applyFill="1" applyBorder="1" applyAlignment="1" applyProtection="1">
      <alignment horizontal="center" vertical="center"/>
      <protection hidden="1"/>
    </xf>
    <xf numFmtId="0" fontId="3" fillId="3" borderId="2" xfId="0" applyFont="1" applyFill="1" applyBorder="1" applyAlignment="1" applyProtection="1">
      <alignment horizontal="center"/>
      <protection hidden="1"/>
    </xf>
    <xf numFmtId="0" fontId="3" fillId="3" borderId="3" xfId="0" applyFont="1" applyFill="1" applyBorder="1" applyAlignment="1" applyProtection="1">
      <alignment horizontal="center"/>
      <protection hidden="1"/>
    </xf>
    <xf numFmtId="172" fontId="0" fillId="0" borderId="0" xfId="0" applyNumberFormat="1"/>
    <xf numFmtId="177" fontId="0" fillId="0" borderId="0" xfId="0" applyNumberFormat="1" applyProtection="1">
      <protection hidden="1"/>
    </xf>
    <xf numFmtId="177" fontId="5" fillId="2" borderId="4" xfId="0" applyNumberFormat="1" applyFont="1" applyFill="1" applyBorder="1" applyAlignment="1" applyProtection="1">
      <alignment horizontal="center" wrapText="1"/>
      <protection hidden="1"/>
    </xf>
    <xf numFmtId="177" fontId="4" fillId="2" borderId="4" xfId="0" applyNumberFormat="1" applyFont="1" applyFill="1" applyBorder="1" applyAlignment="1" applyProtection="1">
      <alignment horizontal="center" wrapText="1"/>
      <protection hidden="1"/>
    </xf>
    <xf numFmtId="177" fontId="4" fillId="2" borderId="5" xfId="0" applyNumberFormat="1" applyFont="1" applyFill="1" applyBorder="1" applyAlignment="1" applyProtection="1">
      <alignment horizontal="center" wrapText="1"/>
      <protection hidden="1"/>
    </xf>
    <xf numFmtId="0" fontId="7" fillId="3" borderId="6" xfId="0" applyFont="1" applyFill="1" applyBorder="1" applyAlignment="1" applyProtection="1">
      <alignment vertical="center"/>
      <protection hidden="1"/>
    </xf>
    <xf numFmtId="0" fontId="0" fillId="3" borderId="7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175" fontId="0" fillId="0" borderId="0" xfId="0" applyNumberFormat="1" applyProtection="1">
      <protection hidden="1"/>
    </xf>
    <xf numFmtId="0" fontId="0" fillId="4" borderId="0" xfId="0" applyFill="1" applyAlignment="1" applyProtection="1">
      <alignment horizontal="left"/>
      <protection locked="0" hidden="1"/>
    </xf>
    <xf numFmtId="0" fontId="1" fillId="4" borderId="8" xfId="0" applyFont="1" applyFill="1" applyBorder="1" applyAlignment="1" applyProtection="1">
      <alignment horizontal="left" vertical="center" wrapText="1"/>
      <protection hidden="1"/>
    </xf>
    <xf numFmtId="0" fontId="1" fillId="5" borderId="8" xfId="0" applyFont="1" applyFill="1" applyBorder="1" applyAlignment="1" applyProtection="1">
      <alignment horizontal="center" vertical="center"/>
      <protection hidden="1"/>
    </xf>
    <xf numFmtId="0" fontId="5" fillId="4" borderId="8" xfId="0" applyFont="1" applyFill="1" applyBorder="1" applyAlignment="1" applyProtection="1">
      <alignment wrapText="1"/>
      <protection hidden="1"/>
    </xf>
    <xf numFmtId="176" fontId="4" fillId="6" borderId="8" xfId="2" applyNumberFormat="1" applyFont="1" applyFill="1" applyBorder="1" applyAlignment="1" applyProtection="1">
      <alignment horizontal="center"/>
      <protection locked="0" hidden="1"/>
    </xf>
    <xf numFmtId="0" fontId="4" fillId="6" borderId="8" xfId="0" applyFont="1" applyFill="1" applyBorder="1" applyAlignment="1" applyProtection="1">
      <alignment horizontal="center"/>
      <protection locked="0" hidden="1"/>
    </xf>
    <xf numFmtId="10" fontId="4" fillId="5" borderId="8" xfId="1" applyNumberFormat="1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Continuous" wrapText="1"/>
      <protection hidden="1"/>
    </xf>
    <xf numFmtId="0" fontId="0" fillId="3" borderId="7" xfId="0" applyFill="1" applyBorder="1" applyAlignment="1" applyProtection="1">
      <alignment horizontal="centerContinuous"/>
      <protection hidden="1"/>
    </xf>
    <xf numFmtId="178" fontId="4" fillId="6" borderId="8" xfId="2" applyNumberFormat="1" applyFont="1" applyFill="1" applyBorder="1" applyProtection="1">
      <protection locked="0" hidden="1"/>
    </xf>
    <xf numFmtId="178" fontId="3" fillId="3" borderId="8" xfId="2" applyNumberFormat="1" applyFont="1" applyFill="1" applyBorder="1" applyProtection="1">
      <protection hidden="1"/>
    </xf>
    <xf numFmtId="178" fontId="3" fillId="3" borderId="9" xfId="0" applyNumberFormat="1" applyFont="1" applyFill="1" applyBorder="1" applyProtection="1">
      <protection hidden="1"/>
    </xf>
    <xf numFmtId="178" fontId="3" fillId="3" borderId="10" xfId="2" applyNumberFormat="1" applyFont="1" applyFill="1" applyBorder="1" applyProtection="1">
      <protection hidden="1"/>
    </xf>
    <xf numFmtId="178" fontId="3" fillId="3" borderId="11" xfId="0" applyNumberFormat="1" applyFont="1" applyFill="1" applyBorder="1" applyProtection="1">
      <protection hidden="1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Abschreibungen</a:t>
            </a:r>
          </a:p>
        </c:rich>
      </c:tx>
      <c:layout>
        <c:manualLayout>
          <c:xMode val="edge"/>
          <c:yMode val="edge"/>
          <c:x val="0.43222106360792495"/>
          <c:y val="2.02531645569620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05318039624609"/>
          <c:y val="0.11814345991561181"/>
          <c:w val="0.64233576642335766"/>
          <c:h val="0.81434599156118148"/>
        </c:manualLayout>
      </c:layout>
      <c:lineChart>
        <c:grouping val="standard"/>
        <c:varyColors val="0"/>
        <c:ser>
          <c:idx val="1"/>
          <c:order val="0"/>
          <c:tx>
            <c:v>Buchwert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Abschreibungstabelle!$A$4:$A$13</c:f>
              <c:strCache>
                <c:ptCount val="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</c:strCache>
            </c:strRef>
          </c:cat>
          <c:val>
            <c:numRef>
              <c:f>Abschreibungstabelle!$B$4:$B$13</c:f>
              <c:numCache>
                <c:formatCode>#,##0.00\ "EUR"</c:formatCode>
                <c:ptCount val="10"/>
                <c:pt idx="0">
                  <c:v>3500</c:v>
                </c:pt>
                <c:pt idx="1">
                  <c:v>2800</c:v>
                </c:pt>
                <c:pt idx="2">
                  <c:v>2240</c:v>
                </c:pt>
                <c:pt idx="3">
                  <c:v>1792</c:v>
                </c:pt>
                <c:pt idx="4">
                  <c:v>1344</c:v>
                </c:pt>
                <c:pt idx="5">
                  <c:v>896</c:v>
                </c:pt>
                <c:pt idx="6">
                  <c:v>448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FA-496C-A5E5-B0F4EF223BCC}"/>
            </c:ext>
          </c:extLst>
        </c:ser>
        <c:ser>
          <c:idx val="2"/>
          <c:order val="1"/>
          <c:tx>
            <c:v>Abschreibungsbetrag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Abschreibungstabelle!$A$4:$A$13</c:f>
              <c:strCache>
                <c:ptCount val="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</c:strCache>
            </c:strRef>
          </c:cat>
          <c:val>
            <c:numRef>
              <c:f>Abschreibungstabelle!$C$4:$C$13</c:f>
              <c:numCache>
                <c:formatCode>#,##0.00\ "EUR"</c:formatCode>
                <c:ptCount val="10"/>
                <c:pt idx="0">
                  <c:v>700</c:v>
                </c:pt>
                <c:pt idx="1">
                  <c:v>560</c:v>
                </c:pt>
                <c:pt idx="2">
                  <c:v>448</c:v>
                </c:pt>
                <c:pt idx="3">
                  <c:v>448</c:v>
                </c:pt>
                <c:pt idx="4">
                  <c:v>448</c:v>
                </c:pt>
                <c:pt idx="5">
                  <c:v>448</c:v>
                </c:pt>
                <c:pt idx="6">
                  <c:v>448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FA-496C-A5E5-B0F4EF223BCC}"/>
            </c:ext>
          </c:extLst>
        </c:ser>
        <c:ser>
          <c:idx val="3"/>
          <c:order val="2"/>
          <c:tx>
            <c:v>Buchwert am Ende des Jahres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Abschreibungstabelle!$A$4:$A$13</c:f>
              <c:strCache>
                <c:ptCount val="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</c:strCache>
            </c:strRef>
          </c:cat>
          <c:val>
            <c:numRef>
              <c:f>Abschreibungstabelle!$D$4:$D$13</c:f>
              <c:numCache>
                <c:formatCode>#,##0.00\ "EUR"</c:formatCode>
                <c:ptCount val="10"/>
                <c:pt idx="0">
                  <c:v>2800</c:v>
                </c:pt>
                <c:pt idx="1">
                  <c:v>2240</c:v>
                </c:pt>
                <c:pt idx="2">
                  <c:v>1792</c:v>
                </c:pt>
                <c:pt idx="3">
                  <c:v>1344</c:v>
                </c:pt>
                <c:pt idx="4">
                  <c:v>896</c:v>
                </c:pt>
                <c:pt idx="5">
                  <c:v>448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FA-496C-A5E5-B0F4EF223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498824"/>
        <c:axId val="1"/>
      </c:lineChart>
      <c:catAx>
        <c:axId val="79249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\ &quot;EUR&quot;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7924988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433785192909276"/>
          <c:y val="0.47426160337552742"/>
          <c:w val="0.23357664233576642"/>
          <c:h val="0.1021097046413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Buchwerte am Jahresende</a:t>
            </a:r>
          </a:p>
        </c:rich>
      </c:tx>
      <c:layout>
        <c:manualLayout>
          <c:xMode val="edge"/>
          <c:yMode val="edge"/>
          <c:x val="0.39207507820646509"/>
          <c:y val="2.02531645569620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12200208550573"/>
          <c:y val="0.11814345991561181"/>
          <c:w val="0.76433785192909276"/>
          <c:h val="0.77215189873417722"/>
        </c:manualLayout>
      </c:layout>
      <c:lineChart>
        <c:grouping val="stacke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Abschreibungstabelle!$D$4:$D$22</c:f>
              <c:numCache>
                <c:formatCode>#,##0.00\ "EUR"</c:formatCode>
                <c:ptCount val="19"/>
                <c:pt idx="0">
                  <c:v>2800</c:v>
                </c:pt>
                <c:pt idx="1">
                  <c:v>2240</c:v>
                </c:pt>
                <c:pt idx="2">
                  <c:v>1792</c:v>
                </c:pt>
                <c:pt idx="3">
                  <c:v>1344</c:v>
                </c:pt>
                <c:pt idx="4">
                  <c:v>896</c:v>
                </c:pt>
                <c:pt idx="5">
                  <c:v>448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20-4B30-BDE9-9CE49B77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496200"/>
        <c:axId val="1"/>
      </c:lineChart>
      <c:catAx>
        <c:axId val="792496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Jahre</a:t>
                </a:r>
              </a:p>
            </c:rich>
          </c:tx>
          <c:layout>
            <c:manualLayout>
              <c:xMode val="edge"/>
              <c:yMode val="edge"/>
              <c:x val="0.49843587069864442"/>
              <c:y val="0.944303797468354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Restwert</a:t>
                </a:r>
              </a:p>
            </c:rich>
          </c:tx>
          <c:layout>
            <c:manualLayout>
              <c:xMode val="edge"/>
              <c:yMode val="edge"/>
              <c:x val="8.863399374348279E-3"/>
              <c:y val="0.4523206751054852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\ &quot;EUR&quot;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7924962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40875912408759"/>
          <c:y val="0.4869198312236287"/>
          <c:w val="8.5505735140771644E-2"/>
          <c:h val="3.45991561181434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zero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02" workbookViewId="0"/>
  </sheetViews>
  <pageMargins left="0.78740157499999996" right="0.78740157499999996" top="0.984251969" bottom="0.984251969" header="0.4921259845" footer="0.492125984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02" workbookViewId="0"/>
  </sheetViews>
  <pageMargins left="0.78740157499999996" right="0.78740157499999996" top="0.984251969" bottom="0.984251969" header="0.4921259845" footer="0.4921259845"/>
  <headerFooter alignWithMargins="0"/>
  <drawing r:id="rId1"/>
</chartsheet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$D$6" lockText="1" noThreeD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B$8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28575</xdr:rowOff>
        </xdr:from>
        <xdr:to>
          <xdr:col>1</xdr:col>
          <xdr:colOff>804863</xdr:colOff>
          <xdr:row>8</xdr:row>
          <xdr:rowOff>152400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9AD06F5-D57E-4D49-83E8-560E47CDB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Abschreibungsverfahren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9525</xdr:rowOff>
        </xdr:from>
        <xdr:to>
          <xdr:col>3</xdr:col>
          <xdr:colOff>857250</xdr:colOff>
          <xdr:row>4</xdr:row>
          <xdr:rowOff>57150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9EB84E6-D37A-4329-8CFC-599A1F084A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1714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zeitanteilig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5</xdr:row>
          <xdr:rowOff>9525</xdr:rowOff>
        </xdr:from>
        <xdr:to>
          <xdr:col>3</xdr:col>
          <xdr:colOff>857250</xdr:colOff>
          <xdr:row>6</xdr:row>
          <xdr:rowOff>57150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498C34E-5AB6-48F6-A761-025F0BB5D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1714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Vereinfachungsregel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1285875</xdr:colOff>
          <xdr:row>2</xdr:row>
          <xdr:rowOff>28575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FAC33BA-C6FA-437E-B5EC-093179CCF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Zeitbezug im ersten Jahr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66675</xdr:rowOff>
        </xdr:from>
        <xdr:to>
          <xdr:col>1</xdr:col>
          <xdr:colOff>733425</xdr:colOff>
          <xdr:row>4</xdr:row>
          <xdr:rowOff>114300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960879DE-0300-453F-91C1-D715F84F6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1714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linear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</xdr:row>
          <xdr:rowOff>57150</xdr:rowOff>
        </xdr:from>
        <xdr:to>
          <xdr:col>1</xdr:col>
          <xdr:colOff>723900</xdr:colOff>
          <xdr:row>6</xdr:row>
          <xdr:rowOff>104775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189FABF1-9A07-4E76-8547-0E96162ED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1714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degressiv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109538</xdr:rowOff>
        </xdr:from>
        <xdr:to>
          <xdr:col>1</xdr:col>
          <xdr:colOff>742950</xdr:colOff>
          <xdr:row>7</xdr:row>
          <xdr:rowOff>323850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18608835-E9A7-49F2-9DE0-0A1A6A908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1714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degressiv mit planm. Wechsel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42132" cy="564963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38B181-CF3C-4938-9B38-517FF668362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42132" cy="564963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0BC1D0-3F9C-4F91-B264-D49A6DA0C5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sqref="A1:B8"/>
    </sheetView>
  </sheetViews>
  <sheetFormatPr baseColWidth="10" defaultRowHeight="12.75" x14ac:dyDescent="0.35"/>
  <cols>
    <col min="1" max="1" width="19.59765625" customWidth="1"/>
    <col min="2" max="2" width="15.73046875" customWidth="1"/>
  </cols>
  <sheetData>
    <row r="1" spans="1:2" x14ac:dyDescent="0.35">
      <c r="A1" s="6" t="s">
        <v>8</v>
      </c>
      <c r="B1" s="6" t="s">
        <v>9</v>
      </c>
    </row>
    <row r="2" spans="1:2" x14ac:dyDescent="0.35">
      <c r="A2" s="6" t="s">
        <v>10</v>
      </c>
      <c r="B2" s="6" t="s">
        <v>11</v>
      </c>
    </row>
    <row r="3" spans="1:2" x14ac:dyDescent="0.35">
      <c r="A3" s="6" t="s">
        <v>12</v>
      </c>
      <c r="B3" s="6" t="s">
        <v>13</v>
      </c>
    </row>
    <row r="4" spans="1:2" x14ac:dyDescent="0.35">
      <c r="A4" s="6" t="s">
        <v>14</v>
      </c>
      <c r="B4" s="6" t="s">
        <v>15</v>
      </c>
    </row>
    <row r="5" spans="1:2" x14ac:dyDescent="0.35">
      <c r="A5" s="6" t="s">
        <v>16</v>
      </c>
      <c r="B5" s="6" t="s">
        <v>17</v>
      </c>
    </row>
    <row r="6" spans="1:2" x14ac:dyDescent="0.35">
      <c r="A6" s="6" t="s">
        <v>18</v>
      </c>
      <c r="B6" s="6" t="s">
        <v>19</v>
      </c>
    </row>
    <row r="7" spans="1:2" x14ac:dyDescent="0.35">
      <c r="A7" s="6" t="s">
        <v>20</v>
      </c>
      <c r="B7" s="6" t="s">
        <v>21</v>
      </c>
    </row>
    <row r="8" spans="1:2" x14ac:dyDescent="0.35">
      <c r="A8" s="6" t="s">
        <v>22</v>
      </c>
      <c r="B8" s="6" t="s">
        <v>23</v>
      </c>
    </row>
  </sheetData>
  <phoneticPr fontId="0" type="noConversion"/>
  <printOptions gridLines="1" gridLinesSet="0"/>
  <pageMargins left="0.78740157499999996" right="0.78740157499999996" top="0.984251969" bottom="0.984251969" header="0.51181102300000003" footer="0.51181102300000003"/>
  <headerFooter alignWithMargins="0">
    <oddHeader>&amp;A</oddHeader>
    <oddFooter>Seite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15"/>
  <sheetViews>
    <sheetView workbookViewId="0">
      <selection activeCell="B10" sqref="B10"/>
    </sheetView>
  </sheetViews>
  <sheetFormatPr baseColWidth="10" defaultColWidth="11.3984375" defaultRowHeight="12.75" x14ac:dyDescent="0.35"/>
  <cols>
    <col min="1" max="1" width="19.86328125" style="2" customWidth="1"/>
    <col min="2" max="2" width="18.1328125" style="2" customWidth="1"/>
    <col min="3" max="4" width="18.3984375" style="2" customWidth="1"/>
    <col min="5" max="5" width="6.86328125" style="2" customWidth="1"/>
    <col min="6" max="6" width="18" style="2" customWidth="1"/>
    <col min="7" max="16384" width="11.3984375" style="2"/>
  </cols>
  <sheetData>
    <row r="1" spans="1:6" ht="30.75" customHeight="1" x14ac:dyDescent="0.35">
      <c r="A1" s="11" t="s">
        <v>0</v>
      </c>
      <c r="B1" s="12"/>
      <c r="C1" s="13"/>
      <c r="D1" s="13"/>
      <c r="E1" s="13"/>
    </row>
    <row r="2" spans="1:6" x14ac:dyDescent="0.35">
      <c r="A2" s="13"/>
      <c r="B2" s="13"/>
      <c r="C2" s="13"/>
      <c r="D2" s="13"/>
      <c r="E2" s="13"/>
      <c r="F2" s="14"/>
    </row>
    <row r="3" spans="1:6" x14ac:dyDescent="0.35">
      <c r="A3" s="13"/>
      <c r="B3" s="13"/>
      <c r="C3" s="13"/>
      <c r="D3" s="13"/>
      <c r="E3" s="13"/>
    </row>
    <row r="4" spans="1:6" x14ac:dyDescent="0.35">
      <c r="A4" s="13"/>
      <c r="B4" s="13"/>
      <c r="C4" s="13"/>
      <c r="D4" s="13"/>
      <c r="E4" s="13"/>
    </row>
    <row r="5" spans="1:6" x14ac:dyDescent="0.35">
      <c r="A5" s="13"/>
      <c r="B5" s="13"/>
      <c r="C5" s="13"/>
      <c r="D5" s="13"/>
      <c r="E5" s="13"/>
    </row>
    <row r="6" spans="1:6" x14ac:dyDescent="0.35">
      <c r="A6" s="13"/>
      <c r="B6" s="13"/>
      <c r="C6" s="13"/>
      <c r="D6" s="15">
        <v>1</v>
      </c>
      <c r="E6" s="13"/>
    </row>
    <row r="7" spans="1:6" x14ac:dyDescent="0.35">
      <c r="A7" s="13"/>
      <c r="B7" s="13"/>
      <c r="C7" s="13"/>
      <c r="D7" s="13"/>
      <c r="E7" s="13"/>
    </row>
    <row r="8" spans="1:6" ht="26.25" x14ac:dyDescent="0.35">
      <c r="A8" s="13"/>
      <c r="B8" s="15">
        <v>3</v>
      </c>
      <c r="C8" s="16" t="s">
        <v>1</v>
      </c>
      <c r="D8" s="17">
        <f>IF(D6=1,12-MONTH(B10)+1,IF(MONTH(B10)&lt;7,12,6))</f>
        <v>12</v>
      </c>
      <c r="E8" s="13"/>
    </row>
    <row r="9" spans="1:6" x14ac:dyDescent="0.35">
      <c r="A9" s="13"/>
      <c r="B9" s="13"/>
      <c r="C9" s="13"/>
      <c r="D9" s="13"/>
      <c r="E9" s="13"/>
    </row>
    <row r="10" spans="1:6" ht="30" x14ac:dyDescent="0.4">
      <c r="A10" s="18" t="s">
        <v>2</v>
      </c>
      <c r="B10" s="19">
        <v>43831</v>
      </c>
      <c r="C10" s="18" t="s">
        <v>3</v>
      </c>
      <c r="D10" s="25">
        <v>3500</v>
      </c>
      <c r="E10" s="13"/>
    </row>
    <row r="11" spans="1:6" ht="35.25" customHeight="1" x14ac:dyDescent="0.4">
      <c r="A11" s="18" t="s">
        <v>4</v>
      </c>
      <c r="B11" s="20">
        <v>7</v>
      </c>
      <c r="C11" s="18" t="s">
        <v>5</v>
      </c>
      <c r="D11" s="21">
        <f>IF(Anschaffungsdatum&lt;36892,IF(B8=1,1/B11,IF(B11&lt;10,0.3,3/B11)),IF(B8=1,1/B11,IF(B11&lt;10,0.2,2/B11)))</f>
        <v>0.2</v>
      </c>
      <c r="E11" s="13"/>
    </row>
    <row r="12" spans="1:6" ht="30" x14ac:dyDescent="0.4">
      <c r="A12" s="18" t="s">
        <v>6</v>
      </c>
      <c r="B12" s="22">
        <f>YEAR(B10)+ROUNDUP(B11-1+(12-D8)/12,0)</f>
        <v>2026</v>
      </c>
      <c r="C12" s="23" t="s">
        <v>7</v>
      </c>
      <c r="D12" s="24"/>
      <c r="E12" s="13"/>
    </row>
    <row r="13" spans="1:6" x14ac:dyDescent="0.35">
      <c r="A13" s="13"/>
      <c r="B13" s="13"/>
      <c r="C13" s="13"/>
      <c r="D13" s="13"/>
      <c r="E13" s="13"/>
    </row>
    <row r="14" spans="1:6" x14ac:dyDescent="0.35">
      <c r="A14" s="13"/>
      <c r="B14" s="13"/>
      <c r="C14" s="13"/>
      <c r="D14" s="13"/>
      <c r="E14" s="13"/>
    </row>
    <row r="15" spans="1:6" x14ac:dyDescent="0.35">
      <c r="A15" s="13"/>
      <c r="B15" s="13"/>
      <c r="C15" s="13"/>
      <c r="D15" s="13"/>
      <c r="E15" s="13"/>
    </row>
  </sheetData>
  <phoneticPr fontId="0" type="noConversion"/>
  <printOptions gridLines="1" gridLinesSet="0"/>
  <pageMargins left="0.78740157499999996" right="0.78740157499999996" top="0.984251969" bottom="0.984251969" header="0.51181102300000003" footer="0.51181102300000003"/>
  <headerFooter alignWithMargins="0">
    <oddHeader>&amp;A</oddHeader>
    <oddFooter>Seite &amp;P</oddFooter>
  </headerFooter>
  <cellWatches>
    <cellWatch r="D11"/>
  </cellWatche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roup Box 1">
              <controlPr defaultSize="0" autoPict="0">
                <anchor moveWithCells="1">
                  <from>
                    <xdr:col>0</xdr:col>
                    <xdr:colOff>38100</xdr:colOff>
                    <xdr:row>2</xdr:row>
                    <xdr:rowOff>28575</xdr:rowOff>
                  </from>
                  <to>
                    <xdr:col>1</xdr:col>
                    <xdr:colOff>804863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295275</xdr:colOff>
                    <xdr:row>3</xdr:row>
                    <xdr:rowOff>9525</xdr:rowOff>
                  </from>
                  <to>
                    <xdr:col>3</xdr:col>
                    <xdr:colOff>857250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</xdr:col>
                    <xdr:colOff>295275</xdr:colOff>
                    <xdr:row>5</xdr:row>
                    <xdr:rowOff>9525</xdr:rowOff>
                  </from>
                  <to>
                    <xdr:col>3</xdr:col>
                    <xdr:colOff>857250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roup Box 4">
              <controlPr defaultSize="0" autoPict="0">
                <anchor moveWithCells="1">
                  <from>
                    <xdr:col>1</xdr:col>
                    <xdr:colOff>1285875</xdr:colOff>
                    <xdr:row>2</xdr:row>
                    <xdr:rowOff>28575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0</xdr:col>
                    <xdr:colOff>114300</xdr:colOff>
                    <xdr:row>3</xdr:row>
                    <xdr:rowOff>66675</xdr:rowOff>
                  </from>
                  <to>
                    <xdr:col>1</xdr:col>
                    <xdr:colOff>733425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0</xdr:col>
                    <xdr:colOff>104775</xdr:colOff>
                    <xdr:row>5</xdr:row>
                    <xdr:rowOff>57150</xdr:rowOff>
                  </from>
                  <to>
                    <xdr:col>1</xdr:col>
                    <xdr:colOff>723900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Option Button 7">
              <controlPr defaultSize="0" autoFill="0" autoLine="0" autoPict="0">
                <anchor moveWithCells="1">
                  <from>
                    <xdr:col>0</xdr:col>
                    <xdr:colOff>123825</xdr:colOff>
                    <xdr:row>7</xdr:row>
                    <xdr:rowOff>109538</xdr:rowOff>
                  </from>
                  <to>
                    <xdr:col>1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6"/>
  <sheetViews>
    <sheetView tabSelected="1" topLeftCell="A3" workbookViewId="0">
      <selection activeCell="A3" sqref="A3:D10"/>
    </sheetView>
  </sheetViews>
  <sheetFormatPr baseColWidth="10" defaultColWidth="11.3984375" defaultRowHeight="12.75" x14ac:dyDescent="0.35"/>
  <cols>
    <col min="1" max="1" width="11.3984375" style="2"/>
    <col min="2" max="4" width="20.73046875" style="7" customWidth="1"/>
    <col min="5" max="16384" width="11.3984375" style="2"/>
  </cols>
  <sheetData>
    <row r="1" spans="1:4" ht="17.649999999999999" x14ac:dyDescent="0.5">
      <c r="A1" s="1" t="s">
        <v>24</v>
      </c>
    </row>
    <row r="2" spans="1:4" ht="13.15" thickBot="1" x14ac:dyDescent="0.4"/>
    <row r="3" spans="1:4" ht="32.25" customHeight="1" x14ac:dyDescent="0.4">
      <c r="A3" s="3" t="s">
        <v>25</v>
      </c>
      <c r="B3" s="8" t="s">
        <v>26</v>
      </c>
      <c r="C3" s="9" t="s">
        <v>27</v>
      </c>
      <c r="D3" s="10" t="s">
        <v>28</v>
      </c>
    </row>
    <row r="4" spans="1:4" ht="15" x14ac:dyDescent="0.4">
      <c r="A4" s="4">
        <f>YEAR(Anschaffungsdatum)</f>
        <v>2020</v>
      </c>
      <c r="B4" s="26">
        <f>Anschaffungswert</f>
        <v>3500</v>
      </c>
      <c r="C4" s="26">
        <f>Afasatz*Anschaffungswert*Anzahl_der_Monate/12</f>
        <v>700</v>
      </c>
      <c r="D4" s="27">
        <f>Anschaffungswert-C4</f>
        <v>2800</v>
      </c>
    </row>
    <row r="5" spans="1:4" ht="15" x14ac:dyDescent="0.4">
      <c r="A5" s="4">
        <f>IF(A4="","",IF(A4+1&lt;=letztes_Nutzungsjahr,A4+1,""))</f>
        <v>2021</v>
      </c>
      <c r="B5" s="26">
        <f>IF(ISNUMBER(A5),D4,"")</f>
        <v>2800</v>
      </c>
      <c r="C5" s="26">
        <f>IF(ISNUMBER(A5),Abschreibungsbetrag(Afaverfahren,D4,A5),"")</f>
        <v>560</v>
      </c>
      <c r="D5" s="27">
        <f>IF(ISNUMBER(A5),D4-C5,"")</f>
        <v>2240</v>
      </c>
    </row>
    <row r="6" spans="1:4" ht="15" x14ac:dyDescent="0.4">
      <c r="A6" s="4">
        <f>IF(A5="","",IF(A5+1&lt;=letztes_Nutzungsjahr,A5+1,""))</f>
        <v>2022</v>
      </c>
      <c r="B6" s="26">
        <f>IF(ISNUMBER(A6),D5,"")</f>
        <v>2240</v>
      </c>
      <c r="C6" s="26">
        <f t="shared" ref="C6:C12" si="0">IF(ISNUMBER(A6),Abschreibungsbetrag(Afaverfahren,D5,A6),"")</f>
        <v>448</v>
      </c>
      <c r="D6" s="27">
        <f>IF(ISNUMBER(A6),D5-C6,"")</f>
        <v>1792</v>
      </c>
    </row>
    <row r="7" spans="1:4" ht="15" x14ac:dyDescent="0.4">
      <c r="A7" s="4">
        <f>IF(A6="","",IF(A6+1&lt;=letztes_Nutzungsjahr,A6+1,""))</f>
        <v>2023</v>
      </c>
      <c r="B7" s="26">
        <f>IF(ISNUMBER(A7),D6,"")</f>
        <v>1792</v>
      </c>
      <c r="C7" s="26">
        <f t="shared" si="0"/>
        <v>448</v>
      </c>
      <c r="D7" s="27">
        <f>IF(ISNUMBER(A7),D6-C7,"")</f>
        <v>1344</v>
      </c>
    </row>
    <row r="8" spans="1:4" ht="15" x14ac:dyDescent="0.4">
      <c r="A8" s="4">
        <f>IF(A7="","",IF(A7+1&lt;=letztes_Nutzungsjahr,A7+1,""))</f>
        <v>2024</v>
      </c>
      <c r="B8" s="26">
        <f>IF(ISNUMBER(A8),D7,"")</f>
        <v>1344</v>
      </c>
      <c r="C8" s="26">
        <f t="shared" si="0"/>
        <v>448</v>
      </c>
      <c r="D8" s="27">
        <f>IF(ISNUMBER(A8),D7-C8,"")</f>
        <v>896</v>
      </c>
    </row>
    <row r="9" spans="1:4" ht="15" x14ac:dyDescent="0.4">
      <c r="A9" s="4">
        <f t="shared" ref="A9:A24" si="1">IF(A8="","",IF(A8+1&lt;=letztes_Nutzungsjahr,A8+1,""))</f>
        <v>2025</v>
      </c>
      <c r="B9" s="26">
        <f t="shared" ref="B9:B24" si="2">IF(ISNUMBER(A9),D8,"")</f>
        <v>896</v>
      </c>
      <c r="C9" s="26">
        <f t="shared" si="0"/>
        <v>448</v>
      </c>
      <c r="D9" s="27">
        <f t="shared" ref="D9:D24" si="3">IF(ISNUMBER(A9),D8-C9,"")</f>
        <v>448</v>
      </c>
    </row>
    <row r="10" spans="1:4" ht="15" x14ac:dyDescent="0.4">
      <c r="A10" s="4">
        <f t="shared" si="1"/>
        <v>2026</v>
      </c>
      <c r="B10" s="26">
        <f t="shared" si="2"/>
        <v>448</v>
      </c>
      <c r="C10" s="26">
        <f t="shared" si="0"/>
        <v>448</v>
      </c>
      <c r="D10" s="27">
        <f t="shared" si="3"/>
        <v>0</v>
      </c>
    </row>
    <row r="11" spans="1:4" ht="15" x14ac:dyDescent="0.4">
      <c r="A11" s="4" t="str">
        <f t="shared" si="1"/>
        <v/>
      </c>
      <c r="B11" s="26" t="str">
        <f t="shared" si="2"/>
        <v/>
      </c>
      <c r="C11" s="26" t="str">
        <f t="shared" si="0"/>
        <v/>
      </c>
      <c r="D11" s="27" t="str">
        <f t="shared" si="3"/>
        <v/>
      </c>
    </row>
    <row r="12" spans="1:4" ht="15" x14ac:dyDescent="0.4">
      <c r="A12" s="4" t="str">
        <f t="shared" si="1"/>
        <v/>
      </c>
      <c r="B12" s="26" t="str">
        <f t="shared" si="2"/>
        <v/>
      </c>
      <c r="C12" s="26" t="str">
        <f t="shared" si="0"/>
        <v/>
      </c>
      <c r="D12" s="27" t="str">
        <f t="shared" si="3"/>
        <v/>
      </c>
    </row>
    <row r="13" spans="1:4" ht="15" x14ac:dyDescent="0.4">
      <c r="A13" s="4" t="str">
        <f t="shared" si="1"/>
        <v/>
      </c>
      <c r="B13" s="26" t="str">
        <f t="shared" si="2"/>
        <v/>
      </c>
      <c r="C13" s="26" t="str">
        <f>IF(ISNUMBER(A13),Abschreibungsbetrag(Eingaben!$B$8,D12,A13),"")</f>
        <v/>
      </c>
      <c r="D13" s="27" t="str">
        <f t="shared" si="3"/>
        <v/>
      </c>
    </row>
    <row r="14" spans="1:4" ht="15" x14ac:dyDescent="0.4">
      <c r="A14" s="4" t="str">
        <f t="shared" si="1"/>
        <v/>
      </c>
      <c r="B14" s="26" t="str">
        <f t="shared" si="2"/>
        <v/>
      </c>
      <c r="C14" s="26" t="str">
        <f>IF(ISNUMBER(A14),Abschreibungsbetrag(Eingaben!$B$8,D13,A14),"")</f>
        <v/>
      </c>
      <c r="D14" s="27" t="str">
        <f t="shared" si="3"/>
        <v/>
      </c>
    </row>
    <row r="15" spans="1:4" ht="15" x14ac:dyDescent="0.4">
      <c r="A15" s="4" t="str">
        <f t="shared" si="1"/>
        <v/>
      </c>
      <c r="B15" s="26" t="str">
        <f t="shared" si="2"/>
        <v/>
      </c>
      <c r="C15" s="26" t="str">
        <f>IF(ISNUMBER(A15),Abschreibungsbetrag(Eingaben!$B$8,D14,A15),"")</f>
        <v/>
      </c>
      <c r="D15" s="27" t="str">
        <f t="shared" si="3"/>
        <v/>
      </c>
    </row>
    <row r="16" spans="1:4" ht="15" x14ac:dyDescent="0.4">
      <c r="A16" s="4" t="str">
        <f t="shared" si="1"/>
        <v/>
      </c>
      <c r="B16" s="26" t="str">
        <f t="shared" si="2"/>
        <v/>
      </c>
      <c r="C16" s="26" t="str">
        <f>IF(ISNUMBER(A16),Abschreibungsbetrag(Eingaben!$B$8,D15,A16),"")</f>
        <v/>
      </c>
      <c r="D16" s="27" t="str">
        <f t="shared" si="3"/>
        <v/>
      </c>
    </row>
    <row r="17" spans="1:4" ht="15" x14ac:dyDescent="0.4">
      <c r="A17" s="4" t="str">
        <f t="shared" si="1"/>
        <v/>
      </c>
      <c r="B17" s="26" t="str">
        <f t="shared" si="2"/>
        <v/>
      </c>
      <c r="C17" s="26" t="str">
        <f>IF(ISNUMBER(A17),Abschreibungsbetrag(Eingaben!$B$8,D16,A17),"")</f>
        <v/>
      </c>
      <c r="D17" s="27" t="str">
        <f t="shared" si="3"/>
        <v/>
      </c>
    </row>
    <row r="18" spans="1:4" ht="15" x14ac:dyDescent="0.4">
      <c r="A18" s="4" t="str">
        <f t="shared" si="1"/>
        <v/>
      </c>
      <c r="B18" s="26" t="str">
        <f t="shared" si="2"/>
        <v/>
      </c>
      <c r="C18" s="26" t="str">
        <f>IF(ISNUMBER(A18),Abschreibungsbetrag(Eingaben!$B$8,D17,A18),"")</f>
        <v/>
      </c>
      <c r="D18" s="27" t="str">
        <f t="shared" si="3"/>
        <v/>
      </c>
    </row>
    <row r="19" spans="1:4" ht="15" x14ac:dyDescent="0.4">
      <c r="A19" s="4" t="str">
        <f t="shared" si="1"/>
        <v/>
      </c>
      <c r="B19" s="26" t="str">
        <f t="shared" si="2"/>
        <v/>
      </c>
      <c r="C19" s="26" t="str">
        <f>IF(ISNUMBER(A19),Abschreibungsbetrag(Eingaben!$B$8,D18,A19),"")</f>
        <v/>
      </c>
      <c r="D19" s="27" t="str">
        <f t="shared" si="3"/>
        <v/>
      </c>
    </row>
    <row r="20" spans="1:4" ht="15" x14ac:dyDescent="0.4">
      <c r="A20" s="4" t="str">
        <f t="shared" si="1"/>
        <v/>
      </c>
      <c r="B20" s="26" t="str">
        <f t="shared" si="2"/>
        <v/>
      </c>
      <c r="C20" s="26" t="str">
        <f>IF(ISNUMBER(A20),Abschreibungsbetrag(Eingaben!$B$8,D19,A20),"")</f>
        <v/>
      </c>
      <c r="D20" s="27" t="str">
        <f t="shared" si="3"/>
        <v/>
      </c>
    </row>
    <row r="21" spans="1:4" ht="15" x14ac:dyDescent="0.4">
      <c r="A21" s="4" t="str">
        <f t="shared" si="1"/>
        <v/>
      </c>
      <c r="B21" s="26" t="str">
        <f t="shared" si="2"/>
        <v/>
      </c>
      <c r="C21" s="26" t="str">
        <f>IF(ISNUMBER(A21),Abschreibungsbetrag(Eingaben!$B$8,D20,A21),"")</f>
        <v/>
      </c>
      <c r="D21" s="27" t="str">
        <f t="shared" si="3"/>
        <v/>
      </c>
    </row>
    <row r="22" spans="1:4" ht="15" x14ac:dyDescent="0.4">
      <c r="A22" s="4" t="str">
        <f t="shared" si="1"/>
        <v/>
      </c>
      <c r="B22" s="26" t="str">
        <f t="shared" si="2"/>
        <v/>
      </c>
      <c r="C22" s="26" t="str">
        <f>IF(ISNUMBER(A22),Abschreibungsbetrag(Eingaben!$B$8,D21,A22),"")</f>
        <v/>
      </c>
      <c r="D22" s="27" t="str">
        <f t="shared" si="3"/>
        <v/>
      </c>
    </row>
    <row r="23" spans="1:4" ht="15" x14ac:dyDescent="0.4">
      <c r="A23" s="4" t="str">
        <f t="shared" si="1"/>
        <v/>
      </c>
      <c r="B23" s="26" t="str">
        <f t="shared" si="2"/>
        <v/>
      </c>
      <c r="C23" s="26" t="str">
        <f>IF(ISNUMBER(A23),Abschreibungsbetrag(Eingaben!$B$8,D22,A23),"")</f>
        <v/>
      </c>
      <c r="D23" s="27" t="str">
        <f t="shared" si="3"/>
        <v/>
      </c>
    </row>
    <row r="24" spans="1:4" ht="15" x14ac:dyDescent="0.4">
      <c r="A24" s="4" t="str">
        <f t="shared" si="1"/>
        <v/>
      </c>
      <c r="B24" s="26" t="str">
        <f t="shared" si="2"/>
        <v/>
      </c>
      <c r="C24" s="26" t="str">
        <f>IF(ISNUMBER(A24),Abschreibungsbetrag(Eingaben!$B$8,D23,A24),"")</f>
        <v/>
      </c>
      <c r="D24" s="27" t="str">
        <f t="shared" si="3"/>
        <v/>
      </c>
    </row>
    <row r="25" spans="1:4" ht="15" x14ac:dyDescent="0.4">
      <c r="A25" s="4" t="str">
        <f t="shared" ref="A25:A40" si="4">IF(A24="","",IF(A24+1&lt;=letztes_Nutzungsjahr,A24+1,""))</f>
        <v/>
      </c>
      <c r="B25" s="26" t="str">
        <f t="shared" ref="B25:B40" si="5">IF(ISNUMBER(A25),D24,"")</f>
        <v/>
      </c>
      <c r="C25" s="26" t="str">
        <f>IF(ISNUMBER(A25),Abschreibungsbetrag(Eingaben!$B$8,D24,A25),"")</f>
        <v/>
      </c>
      <c r="D25" s="27" t="str">
        <f t="shared" ref="D25:D40" si="6">IF(ISNUMBER(A25),D24-C25,"")</f>
        <v/>
      </c>
    </row>
    <row r="26" spans="1:4" ht="15" x14ac:dyDescent="0.4">
      <c r="A26" s="4" t="str">
        <f t="shared" si="4"/>
        <v/>
      </c>
      <c r="B26" s="26" t="str">
        <f t="shared" si="5"/>
        <v/>
      </c>
      <c r="C26" s="26" t="str">
        <f>IF(ISNUMBER(A26),Abschreibungsbetrag(Eingaben!$B$8,D25,A26),"")</f>
        <v/>
      </c>
      <c r="D26" s="27" t="str">
        <f t="shared" si="6"/>
        <v/>
      </c>
    </row>
    <row r="27" spans="1:4" ht="15" x14ac:dyDescent="0.4">
      <c r="A27" s="4" t="str">
        <f t="shared" si="4"/>
        <v/>
      </c>
      <c r="B27" s="26" t="str">
        <f t="shared" si="5"/>
        <v/>
      </c>
      <c r="C27" s="26" t="str">
        <f>IF(ISNUMBER(A27),Abschreibungsbetrag(Eingaben!$B$8,D26,A27),"")</f>
        <v/>
      </c>
      <c r="D27" s="27" t="str">
        <f t="shared" si="6"/>
        <v/>
      </c>
    </row>
    <row r="28" spans="1:4" ht="15" x14ac:dyDescent="0.4">
      <c r="A28" s="4" t="str">
        <f t="shared" si="4"/>
        <v/>
      </c>
      <c r="B28" s="26" t="str">
        <f t="shared" si="5"/>
        <v/>
      </c>
      <c r="C28" s="26" t="str">
        <f>IF(ISNUMBER(A28),Abschreibungsbetrag(Eingaben!$B$8,D27,A28),"")</f>
        <v/>
      </c>
      <c r="D28" s="27" t="str">
        <f t="shared" si="6"/>
        <v/>
      </c>
    </row>
    <row r="29" spans="1:4" ht="15" x14ac:dyDescent="0.4">
      <c r="A29" s="4" t="str">
        <f t="shared" si="4"/>
        <v/>
      </c>
      <c r="B29" s="26" t="str">
        <f t="shared" si="5"/>
        <v/>
      </c>
      <c r="C29" s="26" t="str">
        <f>IF(ISNUMBER(A29),Abschreibungsbetrag(Eingaben!$B$8,D28,A29),"")</f>
        <v/>
      </c>
      <c r="D29" s="27" t="str">
        <f t="shared" si="6"/>
        <v/>
      </c>
    </row>
    <row r="30" spans="1:4" ht="15" x14ac:dyDescent="0.4">
      <c r="A30" s="4" t="str">
        <f t="shared" si="4"/>
        <v/>
      </c>
      <c r="B30" s="26" t="str">
        <f t="shared" si="5"/>
        <v/>
      </c>
      <c r="C30" s="26" t="str">
        <f>IF(ISNUMBER(A30),Abschreibungsbetrag(Eingaben!$B$8,D29,A30),"")</f>
        <v/>
      </c>
      <c r="D30" s="27" t="str">
        <f t="shared" si="6"/>
        <v/>
      </c>
    </row>
    <row r="31" spans="1:4" ht="15" x14ac:dyDescent="0.4">
      <c r="A31" s="4" t="str">
        <f t="shared" si="4"/>
        <v/>
      </c>
      <c r="B31" s="26" t="str">
        <f t="shared" si="5"/>
        <v/>
      </c>
      <c r="C31" s="26" t="str">
        <f>IF(ISNUMBER(A31),Abschreibungsbetrag(Eingaben!$B$8,D30,A31),"")</f>
        <v/>
      </c>
      <c r="D31" s="27" t="str">
        <f t="shared" si="6"/>
        <v/>
      </c>
    </row>
    <row r="32" spans="1:4" ht="15" x14ac:dyDescent="0.4">
      <c r="A32" s="4" t="str">
        <f t="shared" si="4"/>
        <v/>
      </c>
      <c r="B32" s="26" t="str">
        <f t="shared" si="5"/>
        <v/>
      </c>
      <c r="C32" s="26" t="str">
        <f>IF(ISNUMBER(A32),Abschreibungsbetrag(Eingaben!$B$8,D31,A32),"")</f>
        <v/>
      </c>
      <c r="D32" s="27" t="str">
        <f t="shared" si="6"/>
        <v/>
      </c>
    </row>
    <row r="33" spans="1:4" ht="15" x14ac:dyDescent="0.4">
      <c r="A33" s="4" t="str">
        <f t="shared" si="4"/>
        <v/>
      </c>
      <c r="B33" s="26" t="str">
        <f t="shared" si="5"/>
        <v/>
      </c>
      <c r="C33" s="26" t="str">
        <f>IF(ISNUMBER(A33),Abschreibungsbetrag(Eingaben!$B$8,D32,A33),"")</f>
        <v/>
      </c>
      <c r="D33" s="27" t="str">
        <f t="shared" si="6"/>
        <v/>
      </c>
    </row>
    <row r="34" spans="1:4" ht="15" x14ac:dyDescent="0.4">
      <c r="A34" s="4" t="str">
        <f t="shared" si="4"/>
        <v/>
      </c>
      <c r="B34" s="26" t="str">
        <f t="shared" si="5"/>
        <v/>
      </c>
      <c r="C34" s="26" t="str">
        <f>IF(ISNUMBER(A34),Abschreibungsbetrag(Eingaben!$B$8,D33,A34),"")</f>
        <v/>
      </c>
      <c r="D34" s="27" t="str">
        <f t="shared" si="6"/>
        <v/>
      </c>
    </row>
    <row r="35" spans="1:4" ht="15" x14ac:dyDescent="0.4">
      <c r="A35" s="4" t="str">
        <f t="shared" si="4"/>
        <v/>
      </c>
      <c r="B35" s="26" t="str">
        <f t="shared" si="5"/>
        <v/>
      </c>
      <c r="C35" s="26" t="str">
        <f>IF(ISNUMBER(A35),Abschreibungsbetrag(Eingaben!$B$8,D34,A35),"")</f>
        <v/>
      </c>
      <c r="D35" s="27" t="str">
        <f t="shared" si="6"/>
        <v/>
      </c>
    </row>
    <row r="36" spans="1:4" ht="15" x14ac:dyDescent="0.4">
      <c r="A36" s="4" t="str">
        <f t="shared" si="4"/>
        <v/>
      </c>
      <c r="B36" s="26" t="str">
        <f t="shared" si="5"/>
        <v/>
      </c>
      <c r="C36" s="26" t="str">
        <f>IF(ISNUMBER(A36),Abschreibungsbetrag(Eingaben!$B$8,D35,A36),"")</f>
        <v/>
      </c>
      <c r="D36" s="27" t="str">
        <f t="shared" si="6"/>
        <v/>
      </c>
    </row>
    <row r="37" spans="1:4" ht="15" x14ac:dyDescent="0.4">
      <c r="A37" s="4" t="str">
        <f t="shared" si="4"/>
        <v/>
      </c>
      <c r="B37" s="26" t="str">
        <f t="shared" si="5"/>
        <v/>
      </c>
      <c r="C37" s="26" t="str">
        <f>IF(ISNUMBER(A37),Abschreibungsbetrag(Eingaben!$B$8,D36,A37),"")</f>
        <v/>
      </c>
      <c r="D37" s="27" t="str">
        <f t="shared" si="6"/>
        <v/>
      </c>
    </row>
    <row r="38" spans="1:4" ht="15" x14ac:dyDescent="0.4">
      <c r="A38" s="4" t="str">
        <f t="shared" si="4"/>
        <v/>
      </c>
      <c r="B38" s="26" t="str">
        <f t="shared" si="5"/>
        <v/>
      </c>
      <c r="C38" s="26" t="str">
        <f>IF(ISNUMBER(A38),Abschreibungsbetrag(Eingaben!$B$8,D37,A38),"")</f>
        <v/>
      </c>
      <c r="D38" s="27" t="str">
        <f t="shared" si="6"/>
        <v/>
      </c>
    </row>
    <row r="39" spans="1:4" ht="15" x14ac:dyDescent="0.4">
      <c r="A39" s="4" t="str">
        <f t="shared" si="4"/>
        <v/>
      </c>
      <c r="B39" s="26" t="str">
        <f t="shared" si="5"/>
        <v/>
      </c>
      <c r="C39" s="26" t="str">
        <f>IF(ISNUMBER(A39),Abschreibungsbetrag(Eingaben!$B$8,D38,A39),"")</f>
        <v/>
      </c>
      <c r="D39" s="27" t="str">
        <f t="shared" si="6"/>
        <v/>
      </c>
    </row>
    <row r="40" spans="1:4" ht="15" x14ac:dyDescent="0.4">
      <c r="A40" s="4" t="str">
        <f t="shared" si="4"/>
        <v/>
      </c>
      <c r="B40" s="26" t="str">
        <f t="shared" si="5"/>
        <v/>
      </c>
      <c r="C40" s="26" t="str">
        <f>IF(ISNUMBER(A40),Abschreibungsbetrag(Eingaben!$B$8,D39,A40),"")</f>
        <v/>
      </c>
      <c r="D40" s="27" t="str">
        <f t="shared" si="6"/>
        <v/>
      </c>
    </row>
    <row r="41" spans="1:4" ht="15" x14ac:dyDescent="0.4">
      <c r="A41" s="4" t="str">
        <f t="shared" ref="A41:A56" si="7">IF(A40="","",IF(A40+1&lt;=letztes_Nutzungsjahr,A40+1,""))</f>
        <v/>
      </c>
      <c r="B41" s="26" t="str">
        <f t="shared" ref="B41:B56" si="8">IF(ISNUMBER(A41),D40,"")</f>
        <v/>
      </c>
      <c r="C41" s="26" t="str">
        <f>IF(ISNUMBER(A41),Abschreibungsbetrag(Eingaben!$B$8,D40,A41),"")</f>
        <v/>
      </c>
      <c r="D41" s="27" t="str">
        <f t="shared" ref="D41:D56" si="9">IF(ISNUMBER(A41),D40-C41,"")</f>
        <v/>
      </c>
    </row>
    <row r="42" spans="1:4" ht="15" x14ac:dyDescent="0.4">
      <c r="A42" s="4" t="str">
        <f t="shared" si="7"/>
        <v/>
      </c>
      <c r="B42" s="26" t="str">
        <f t="shared" si="8"/>
        <v/>
      </c>
      <c r="C42" s="26" t="str">
        <f>IF(ISNUMBER(A42),Abschreibungsbetrag(Eingaben!$B$8,D41,A42),"")</f>
        <v/>
      </c>
      <c r="D42" s="27" t="str">
        <f t="shared" si="9"/>
        <v/>
      </c>
    </row>
    <row r="43" spans="1:4" ht="15" x14ac:dyDescent="0.4">
      <c r="A43" s="4" t="str">
        <f t="shared" si="7"/>
        <v/>
      </c>
      <c r="B43" s="26" t="str">
        <f t="shared" si="8"/>
        <v/>
      </c>
      <c r="C43" s="26" t="str">
        <f>IF(ISNUMBER(A43),Abschreibungsbetrag(Eingaben!$B$8,D42,A43),"")</f>
        <v/>
      </c>
      <c r="D43" s="27" t="str">
        <f t="shared" si="9"/>
        <v/>
      </c>
    </row>
    <row r="44" spans="1:4" ht="15" x14ac:dyDescent="0.4">
      <c r="A44" s="4" t="str">
        <f t="shared" si="7"/>
        <v/>
      </c>
      <c r="B44" s="26" t="str">
        <f t="shared" si="8"/>
        <v/>
      </c>
      <c r="C44" s="26" t="str">
        <f>IF(ISNUMBER(A44),Abschreibungsbetrag(Eingaben!$B$8,D43,A44),"")</f>
        <v/>
      </c>
      <c r="D44" s="27" t="str">
        <f t="shared" si="9"/>
        <v/>
      </c>
    </row>
    <row r="45" spans="1:4" ht="15" x14ac:dyDescent="0.4">
      <c r="A45" s="4" t="str">
        <f t="shared" si="7"/>
        <v/>
      </c>
      <c r="B45" s="26" t="str">
        <f t="shared" si="8"/>
        <v/>
      </c>
      <c r="C45" s="26" t="str">
        <f>IF(ISNUMBER(A45),Abschreibungsbetrag(Eingaben!$B$8,D44,A45),"")</f>
        <v/>
      </c>
      <c r="D45" s="27" t="str">
        <f t="shared" si="9"/>
        <v/>
      </c>
    </row>
    <row r="46" spans="1:4" ht="15" x14ac:dyDescent="0.4">
      <c r="A46" s="4" t="str">
        <f t="shared" si="7"/>
        <v/>
      </c>
      <c r="B46" s="26" t="str">
        <f t="shared" si="8"/>
        <v/>
      </c>
      <c r="C46" s="26" t="str">
        <f>IF(ISNUMBER(A46),Abschreibungsbetrag(Eingaben!$B$8,D45,A46),"")</f>
        <v/>
      </c>
      <c r="D46" s="27" t="str">
        <f t="shared" si="9"/>
        <v/>
      </c>
    </row>
    <row r="47" spans="1:4" ht="15" x14ac:dyDescent="0.4">
      <c r="A47" s="4" t="str">
        <f t="shared" si="7"/>
        <v/>
      </c>
      <c r="B47" s="26" t="str">
        <f t="shared" si="8"/>
        <v/>
      </c>
      <c r="C47" s="26" t="str">
        <f>IF(ISNUMBER(A47),Abschreibungsbetrag(Eingaben!$B$8,D46,A47),"")</f>
        <v/>
      </c>
      <c r="D47" s="27" t="str">
        <f t="shared" si="9"/>
        <v/>
      </c>
    </row>
    <row r="48" spans="1:4" ht="15" x14ac:dyDescent="0.4">
      <c r="A48" s="4" t="str">
        <f t="shared" si="7"/>
        <v/>
      </c>
      <c r="B48" s="26" t="str">
        <f t="shared" si="8"/>
        <v/>
      </c>
      <c r="C48" s="26" t="str">
        <f>IF(ISNUMBER(A48),Abschreibungsbetrag(Eingaben!$B$8,D47,A48),"")</f>
        <v/>
      </c>
      <c r="D48" s="27" t="str">
        <f t="shared" si="9"/>
        <v/>
      </c>
    </row>
    <row r="49" spans="1:4" ht="15" x14ac:dyDescent="0.4">
      <c r="A49" s="4" t="str">
        <f t="shared" si="7"/>
        <v/>
      </c>
      <c r="B49" s="26" t="str">
        <f t="shared" si="8"/>
        <v/>
      </c>
      <c r="C49" s="26" t="str">
        <f>IF(ISNUMBER(A49),Abschreibungsbetrag(Eingaben!$B$8,D48,A49),"")</f>
        <v/>
      </c>
      <c r="D49" s="27" t="str">
        <f t="shared" si="9"/>
        <v/>
      </c>
    </row>
    <row r="50" spans="1:4" ht="15" x14ac:dyDescent="0.4">
      <c r="A50" s="4" t="str">
        <f t="shared" si="7"/>
        <v/>
      </c>
      <c r="B50" s="26" t="str">
        <f t="shared" si="8"/>
        <v/>
      </c>
      <c r="C50" s="26" t="str">
        <f>IF(ISNUMBER(A50),Abschreibungsbetrag(Eingaben!$B$8,D49,A50),"")</f>
        <v/>
      </c>
      <c r="D50" s="27" t="str">
        <f t="shared" si="9"/>
        <v/>
      </c>
    </row>
    <row r="51" spans="1:4" ht="15" x14ac:dyDescent="0.4">
      <c r="A51" s="4" t="str">
        <f t="shared" si="7"/>
        <v/>
      </c>
      <c r="B51" s="26" t="str">
        <f t="shared" si="8"/>
        <v/>
      </c>
      <c r="C51" s="26" t="str">
        <f>IF(ISNUMBER(A51),Abschreibungsbetrag(Eingaben!$B$8,D50,A51),"")</f>
        <v/>
      </c>
      <c r="D51" s="27" t="str">
        <f t="shared" si="9"/>
        <v/>
      </c>
    </row>
    <row r="52" spans="1:4" ht="15" x14ac:dyDescent="0.4">
      <c r="A52" s="4" t="str">
        <f t="shared" si="7"/>
        <v/>
      </c>
      <c r="B52" s="26" t="str">
        <f t="shared" si="8"/>
        <v/>
      </c>
      <c r="C52" s="26" t="str">
        <f>IF(ISNUMBER(A52),Abschreibungsbetrag(Eingaben!$B$8,D51,A52),"")</f>
        <v/>
      </c>
      <c r="D52" s="27" t="str">
        <f t="shared" si="9"/>
        <v/>
      </c>
    </row>
    <row r="53" spans="1:4" ht="15" x14ac:dyDescent="0.4">
      <c r="A53" s="4" t="str">
        <f t="shared" si="7"/>
        <v/>
      </c>
      <c r="B53" s="26" t="str">
        <f t="shared" si="8"/>
        <v/>
      </c>
      <c r="C53" s="26" t="str">
        <f>IF(ISNUMBER(A53),Abschreibungsbetrag(Eingaben!$B$8,D52,A53),"")</f>
        <v/>
      </c>
      <c r="D53" s="27" t="str">
        <f t="shared" si="9"/>
        <v/>
      </c>
    </row>
    <row r="54" spans="1:4" ht="15" x14ac:dyDescent="0.4">
      <c r="A54" s="4" t="str">
        <f t="shared" si="7"/>
        <v/>
      </c>
      <c r="B54" s="26" t="str">
        <f t="shared" si="8"/>
        <v/>
      </c>
      <c r="C54" s="26" t="str">
        <f>IF(ISNUMBER(A54),Abschreibungsbetrag(Eingaben!$B$8,D53,A54),"")</f>
        <v/>
      </c>
      <c r="D54" s="27" t="str">
        <f t="shared" si="9"/>
        <v/>
      </c>
    </row>
    <row r="55" spans="1:4" ht="15" x14ac:dyDescent="0.4">
      <c r="A55" s="4" t="str">
        <f t="shared" si="7"/>
        <v/>
      </c>
      <c r="B55" s="26" t="str">
        <f t="shared" si="8"/>
        <v/>
      </c>
      <c r="C55" s="26" t="str">
        <f>IF(ISNUMBER(A55),Abschreibungsbetrag(Eingaben!$B$8,D54,A55),"")</f>
        <v/>
      </c>
      <c r="D55" s="27" t="str">
        <f t="shared" si="9"/>
        <v/>
      </c>
    </row>
    <row r="56" spans="1:4" ht="15" x14ac:dyDescent="0.4">
      <c r="A56" s="4" t="str">
        <f t="shared" si="7"/>
        <v/>
      </c>
      <c r="B56" s="26" t="str">
        <f t="shared" si="8"/>
        <v/>
      </c>
      <c r="C56" s="26" t="str">
        <f>IF(ISNUMBER(A56),Abschreibungsbetrag(Eingaben!$B$8,D55,A56),"")</f>
        <v/>
      </c>
      <c r="D56" s="27" t="str">
        <f t="shared" si="9"/>
        <v/>
      </c>
    </row>
    <row r="57" spans="1:4" ht="15" x14ac:dyDescent="0.4">
      <c r="A57" s="4" t="str">
        <f t="shared" ref="A57:A66" si="10">IF(A56="","",IF(A56+1&lt;=letztes_Nutzungsjahr,A56+1,""))</f>
        <v/>
      </c>
      <c r="B57" s="26" t="str">
        <f t="shared" ref="B57:B66" si="11">IF(ISNUMBER(A57),D56,"")</f>
        <v/>
      </c>
      <c r="C57" s="26" t="str">
        <f>IF(ISNUMBER(A57),Abschreibungsbetrag(Eingaben!$B$8,D56,A57),"")</f>
        <v/>
      </c>
      <c r="D57" s="27" t="str">
        <f t="shared" ref="D57:D66" si="12">IF(ISNUMBER(A57),D56-C57,"")</f>
        <v/>
      </c>
    </row>
    <row r="58" spans="1:4" ht="15" x14ac:dyDescent="0.4">
      <c r="A58" s="4" t="str">
        <f t="shared" si="10"/>
        <v/>
      </c>
      <c r="B58" s="26" t="str">
        <f t="shared" si="11"/>
        <v/>
      </c>
      <c r="C58" s="26" t="str">
        <f>IF(ISNUMBER(A58),Abschreibungsbetrag(Eingaben!$B$8,D57,A58),"")</f>
        <v/>
      </c>
      <c r="D58" s="27" t="str">
        <f t="shared" si="12"/>
        <v/>
      </c>
    </row>
    <row r="59" spans="1:4" ht="15" x14ac:dyDescent="0.4">
      <c r="A59" s="4" t="str">
        <f t="shared" si="10"/>
        <v/>
      </c>
      <c r="B59" s="26" t="str">
        <f t="shared" si="11"/>
        <v/>
      </c>
      <c r="C59" s="26" t="str">
        <f>IF(ISNUMBER(A59),Abschreibungsbetrag(Eingaben!$B$8,D58,A59),"")</f>
        <v/>
      </c>
      <c r="D59" s="27" t="str">
        <f t="shared" si="12"/>
        <v/>
      </c>
    </row>
    <row r="60" spans="1:4" ht="15" x14ac:dyDescent="0.4">
      <c r="A60" s="4" t="str">
        <f t="shared" si="10"/>
        <v/>
      </c>
      <c r="B60" s="26" t="str">
        <f t="shared" si="11"/>
        <v/>
      </c>
      <c r="C60" s="26" t="str">
        <f>IF(ISNUMBER(A60),Abschreibungsbetrag(Eingaben!$B$8,D59,A60),"")</f>
        <v/>
      </c>
      <c r="D60" s="27" t="str">
        <f t="shared" si="12"/>
        <v/>
      </c>
    </row>
    <row r="61" spans="1:4" ht="15" x14ac:dyDescent="0.4">
      <c r="A61" s="4" t="str">
        <f t="shared" si="10"/>
        <v/>
      </c>
      <c r="B61" s="26" t="str">
        <f t="shared" si="11"/>
        <v/>
      </c>
      <c r="C61" s="26" t="str">
        <f>IF(ISNUMBER(A61),Abschreibungsbetrag(Eingaben!$B$8,D60,A61),"")</f>
        <v/>
      </c>
      <c r="D61" s="27" t="str">
        <f t="shared" si="12"/>
        <v/>
      </c>
    </row>
    <row r="62" spans="1:4" ht="15" x14ac:dyDescent="0.4">
      <c r="A62" s="4" t="str">
        <f t="shared" si="10"/>
        <v/>
      </c>
      <c r="B62" s="26" t="str">
        <f t="shared" si="11"/>
        <v/>
      </c>
      <c r="C62" s="26" t="str">
        <f>IF(ISNUMBER(A62),Abschreibungsbetrag(Eingaben!$B$8,D61,A62),"")</f>
        <v/>
      </c>
      <c r="D62" s="27" t="str">
        <f t="shared" si="12"/>
        <v/>
      </c>
    </row>
    <row r="63" spans="1:4" ht="15" x14ac:dyDescent="0.4">
      <c r="A63" s="4" t="str">
        <f t="shared" si="10"/>
        <v/>
      </c>
      <c r="B63" s="26" t="str">
        <f t="shared" si="11"/>
        <v/>
      </c>
      <c r="C63" s="26" t="str">
        <f>IF(ISNUMBER(A63),Abschreibungsbetrag(Eingaben!$B$8,D62,A63),"")</f>
        <v/>
      </c>
      <c r="D63" s="27" t="str">
        <f t="shared" si="12"/>
        <v/>
      </c>
    </row>
    <row r="64" spans="1:4" ht="15" x14ac:dyDescent="0.4">
      <c r="A64" s="4" t="str">
        <f t="shared" si="10"/>
        <v/>
      </c>
      <c r="B64" s="26" t="str">
        <f t="shared" si="11"/>
        <v/>
      </c>
      <c r="C64" s="26" t="str">
        <f>IF(ISNUMBER(A64),Abschreibungsbetrag(Eingaben!$B$8,D63,A64),"")</f>
        <v/>
      </c>
      <c r="D64" s="27" t="str">
        <f t="shared" si="12"/>
        <v/>
      </c>
    </row>
    <row r="65" spans="1:4" ht="15" x14ac:dyDescent="0.4">
      <c r="A65" s="4" t="str">
        <f t="shared" si="10"/>
        <v/>
      </c>
      <c r="B65" s="26" t="str">
        <f t="shared" si="11"/>
        <v/>
      </c>
      <c r="C65" s="26" t="str">
        <f>IF(ISNUMBER(A65),Abschreibungsbetrag(Eingaben!$B$8,D64,A65),"")</f>
        <v/>
      </c>
      <c r="D65" s="27" t="str">
        <f t="shared" si="12"/>
        <v/>
      </c>
    </row>
    <row r="66" spans="1:4" ht="15.4" thickBot="1" x14ac:dyDescent="0.45">
      <c r="A66" s="5" t="str">
        <f t="shared" si="10"/>
        <v/>
      </c>
      <c r="B66" s="28" t="str">
        <f t="shared" si="11"/>
        <v/>
      </c>
      <c r="C66" s="28" t="str">
        <f>IF(ISNUMBER(A66),Abschreibungsbetrag(Eingaben!$B$8,D65,A66),"")</f>
        <v/>
      </c>
      <c r="D66" s="29" t="str">
        <f t="shared" si="12"/>
        <v/>
      </c>
    </row>
  </sheetData>
  <sheetProtection sheet="1" objects="1" scenarios="1"/>
  <phoneticPr fontId="0" type="noConversion"/>
  <printOptions gridLines="1" gridLinesSet="0"/>
  <pageMargins left="0.78740157499999996" right="0.78740157499999996" top="0.984251969" bottom="0.984251969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3" baseType="lpstr">
      <vt:lpstr>Tabelle1</vt:lpstr>
      <vt:lpstr>Eingaben</vt:lpstr>
      <vt:lpstr>Abschreibungstabelle</vt:lpstr>
      <vt:lpstr>Visualisierung2</vt:lpstr>
      <vt:lpstr>Visualisierung</vt:lpstr>
      <vt:lpstr>Afasatz</vt:lpstr>
      <vt:lpstr>Afaverfahren</vt:lpstr>
      <vt:lpstr>Anschaffungsdatum</vt:lpstr>
      <vt:lpstr>Anschaffungswert</vt:lpstr>
      <vt:lpstr>Anzahl_der_Monate</vt:lpstr>
      <vt:lpstr>letztes_Nutzungsjahr</vt:lpstr>
      <vt:lpstr>Nutzungsdauer</vt:lpstr>
      <vt:lpstr>Zeitbezug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 Beck</dc:creator>
  <cp:lastModifiedBy>frank</cp:lastModifiedBy>
  <dcterms:created xsi:type="dcterms:W3CDTF">1998-09-12T11:07:15Z</dcterms:created>
  <dcterms:modified xsi:type="dcterms:W3CDTF">2021-04-13T13:16:32Z</dcterms:modified>
</cp:coreProperties>
</file>